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fc1e734eccd271a9/2025/Client Work/__2026 GovCon Accounting System - Product Build/03 Checklists and Templates/"/>
    </mc:Choice>
  </mc:AlternateContent>
  <xr:revisionPtr revIDLastSave="0" documentId="8_{1B74BB39-FDBA-4177-BF98-07ED429D4CA4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Wrap Rate Calculator" sheetId="1" r:id="rId1"/>
    <sheet name="Labor Category Pricing" sheetId="2" r:id="rId2"/>
  </sheets>
  <definedNames>
    <definedName name="_xlnm.Print_Area" localSheetId="1">'Labor Category Pricing'!$A$1:$G$22</definedName>
    <definedName name="_xlnm.Print_Area" localSheetId="0">'Wrap Rate Calculator'!$A$1:$E$20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C18" i="2" s="1"/>
  <c r="D6" i="1"/>
  <c r="D18" i="2" l="1"/>
  <c r="C15" i="2"/>
  <c r="C12" i="2"/>
  <c r="C20" i="2"/>
  <c r="C17" i="2"/>
  <c r="C14" i="2"/>
  <c r="C11" i="2"/>
  <c r="C16" i="2"/>
  <c r="C13" i="2"/>
  <c r="D7" i="1"/>
  <c r="C19" i="2"/>
  <c r="D16" i="2" l="1"/>
  <c r="E16" i="2" s="1"/>
  <c r="D17" i="2"/>
  <c r="D19" i="2"/>
  <c r="D12" i="2"/>
  <c r="E12" i="2" s="1"/>
  <c r="D8" i="1"/>
  <c r="D9" i="1" s="1"/>
  <c r="D14" i="2"/>
  <c r="E14" i="2" s="1"/>
  <c r="F14" i="2" s="1"/>
  <c r="G14" i="2" s="1"/>
  <c r="E18" i="2"/>
  <c r="F18" i="2" s="1"/>
  <c r="G18" i="2" s="1"/>
  <c r="D20" i="2"/>
  <c r="D13" i="2"/>
  <c r="E13" i="2" s="1"/>
  <c r="F13" i="2" s="1"/>
  <c r="G13" i="2" s="1"/>
  <c r="D15" i="2"/>
  <c r="D11" i="2"/>
  <c r="F11" i="2" s="1"/>
  <c r="G11" i="2" s="1"/>
  <c r="E11" i="2"/>
  <c r="D10" i="1" l="1"/>
  <c r="D11" i="1" s="1"/>
  <c r="E17" i="2"/>
  <c r="F17" i="2" s="1"/>
  <c r="G17" i="2" s="1"/>
  <c r="E20" i="2"/>
  <c r="F20" i="2" s="1"/>
  <c r="G20" i="2" s="1"/>
  <c r="F12" i="2"/>
  <c r="G12" i="2" s="1"/>
  <c r="F16" i="2"/>
  <c r="G16" i="2" s="1"/>
  <c r="E15" i="2"/>
  <c r="F15" i="2" s="1"/>
  <c r="G15" i="2" s="1"/>
  <c r="E19" i="2"/>
  <c r="F19" i="2" s="1"/>
  <c r="G19" i="2" s="1"/>
  <c r="D13" i="1" l="1"/>
  <c r="B13" i="1"/>
</calcChain>
</file>

<file path=xl/sharedStrings.xml><?xml version="1.0" encoding="utf-8"?>
<sst xmlns="http://schemas.openxmlformats.org/spreadsheetml/2006/main" count="75" uniqueCount="65">
  <si>
    <t>SOLVABILITY</t>
  </si>
  <si>
    <t>Wrap Rate Calculator</t>
  </si>
  <si>
    <t>Jenny W Clark</t>
  </si>
  <si>
    <t>solvability.com/qa-call</t>
  </si>
  <si>
    <t>© 2026 Solvability  |  solvability.com</t>
  </si>
  <si>
    <t>INSTRUCTIONS:</t>
  </si>
  <si>
    <t>Enter 1.0000 under Direct Labor to find your multiplier. Then replace 1.0000 with your actual hourly rate to see your Billing Rate to the Government.</t>
  </si>
  <si>
    <t>Code</t>
  </si>
  <si>
    <t>Description</t>
  </si>
  <si>
    <t>Rate (%)</t>
  </si>
  <si>
    <t>Amount ($)</t>
  </si>
  <si>
    <t>Notes</t>
  </si>
  <si>
    <t>DL</t>
  </si>
  <si>
    <t>Direct Labor — Base hourly wage</t>
  </si>
  <si>
    <t>Enter 1.0000 to find multiplier, or your actual hourly rate</t>
  </si>
  <si>
    <t>FR</t>
  </si>
  <si>
    <t>Fringe — Applied to DL</t>
  </si>
  <si>
    <t>Payroll Taxes, Holiday and PTO, Group Benefits</t>
  </si>
  <si>
    <t>OH</t>
  </si>
  <si>
    <t>Overhead — Applied to DL + FR</t>
  </si>
  <si>
    <t>Costs of Supporting your Technical Workforce</t>
  </si>
  <si>
    <t>G&amp;A</t>
  </si>
  <si>
    <t>G&amp;A — Applied to DL + FR + OH</t>
  </si>
  <si>
    <t>Corporate: Exec, HR, Accounting, Business Development</t>
  </si>
  <si>
    <t>FBLC</t>
  </si>
  <si>
    <t>Fully Burdened Labor Cost — DL+FR+OH+G&amp;A</t>
  </si>
  <si>
    <t>Break-even — minimum to recover before profit</t>
  </si>
  <si>
    <t>FEE</t>
  </si>
  <si>
    <t>Fee — Applied to FBLC</t>
  </si>
  <si>
    <t>Typical profit for Cost Plus Contracting</t>
  </si>
  <si>
    <t>FBLF</t>
  </si>
  <si>
    <t>Fully Burdened Labor with Fee — Billing Rate</t>
  </si>
  <si>
    <t>This is what you bill the government.</t>
  </si>
  <si>
    <t>WRAP RATE MULTIPLIER</t>
  </si>
  <si>
    <t>Every $1.00 of direct labor bills at:</t>
  </si>
  <si>
    <t>to your federal customer</t>
  </si>
  <si>
    <t>☐  Start with Direct Labor (D5) = 1.0000 to calculate your wrap rate multiplier.</t>
  </si>
  <si>
    <t>☐  Adjust Rate (%) cells to match your estimated indirect rates.</t>
  </si>
  <si>
    <t>☐  FBLC is your break-even — minimum to recover before profit.</t>
  </si>
  <si>
    <t>☐  Replace 1.0000 in the Direct Labor — Base Hourly Wage cell to be the pay rate you expect.</t>
  </si>
  <si>
    <t>NEXT STEP:</t>
  </si>
  <si>
    <t>Stop Guessing. Start Knowing.</t>
  </si>
  <si>
    <t>Got questions? Book a 30-min call:</t>
  </si>
  <si>
    <t>Or text Jenny: 256-882-6276</t>
  </si>
  <si>
    <t>Labor Category Pricing</t>
  </si>
  <si>
    <t>© 2026 Solvability</t>
  </si>
  <si>
    <t>Indirect Rates linked from Wrap Rate Calculator</t>
  </si>
  <si>
    <t>INDIRECT RATES</t>
  </si>
  <si>
    <t>LINKED</t>
  </si>
  <si>
    <t>Fringe Rate</t>
  </si>
  <si>
    <t>Overhead Rate</t>
  </si>
  <si>
    <t>G&amp;A Rate</t>
  </si>
  <si>
    <t>Fee Rate</t>
  </si>
  <si>
    <t>Labor Category</t>
  </si>
  <si>
    <t>Base Hourly Rate</t>
  </si>
  <si>
    <t>Fringe</t>
  </si>
  <si>
    <t>Overhead</t>
  </si>
  <si>
    <t>Billing Rate (w/ Fee)</t>
  </si>
  <si>
    <t>Program Manager</t>
  </si>
  <si>
    <t>Senior Analyst</t>
  </si>
  <si>
    <t>Analyst</t>
  </si>
  <si>
    <t>Junior Analyst</t>
  </si>
  <si>
    <t>Administrative Support</t>
  </si>
  <si>
    <t>Subject Matter Expert</t>
  </si>
  <si>
    <t>Text Jenny: 256-882-6276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</si>
</sst>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\$#,##0.000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005082"/>
      <name val="Calibri"/>
      <charset val="1"/>
    </font>
    <font>
      <sz val="11"/>
      <color rgb="FF005082"/>
      <name val="Calibri"/>
      <charset val="1"/>
    </font>
    <font>
      <sz val="11"/>
      <color rgb="FF000000"/>
      <name val="Calibri"/>
      <charset val="1"/>
    </font>
    <font>
      <sz val="11"/>
      <color rgb="FF0000FF"/>
      <name val="Calibri"/>
      <charset val="1"/>
    </font>
    <font>
      <i/>
      <sz val="11"/>
      <color rgb="FF000000"/>
      <name val="Calibri"/>
      <charset val="1"/>
    </font>
    <font>
      <sz val="11"/>
      <color rgb="FFFFFFFF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005082"/>
        <bgColor rgb="FF0066CC"/>
      </patternFill>
    </fill>
    <fill>
      <patternFill patternType="solid">
        <fgColor rgb="FFD4EEF1"/>
        <bgColor rgb="FFCCFFFF"/>
      </patternFill>
    </fill>
    <fill>
      <patternFill patternType="solid">
        <fgColor rgb="FFFFFFFF"/>
        <bgColor rgb="FFF5F5F2"/>
      </patternFill>
    </fill>
    <fill>
      <patternFill patternType="solid">
        <fgColor rgb="FFF5F5F2"/>
        <bgColor rgb="FFFFFFFF"/>
      </patternFill>
    </fill>
    <fill>
      <patternFill patternType="solid">
        <fgColor rgb="FF0F8796"/>
        <bgColor rgb="FF008080"/>
      </patternFill>
    </fill>
    <fill>
      <patternFill patternType="solid">
        <fgColor theme="0" tint="-0.14999847407452621"/>
        <bgColor rgb="FFCCCC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/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10" fontId="5" fillId="5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164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10" fontId="5" fillId="7" borderId="1" xfId="0" applyNumberFormat="1" applyFont="1" applyFill="1" applyBorder="1" applyAlignment="1">
      <alignment horizontal="center" vertical="center"/>
    </xf>
    <xf numFmtId="4" fontId="5" fillId="5" borderId="1" xfId="0" applyNumberFormat="1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4" fontId="1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8796"/>
      <rgbColor rgb="FFCCCCCC"/>
      <rgbColor rgb="FF808080"/>
      <rgbColor rgb="FF9999FF"/>
      <rgbColor rgb="FF993366"/>
      <rgbColor rgb="FFF5F5F2"/>
      <rgbColor rgb="FFD4EE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5082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0"/>
  <sheetViews>
    <sheetView tabSelected="1" zoomScale="90" zoomScaleNormal="90" workbookViewId="0">
      <selection activeCell="B18" sqref="B18"/>
    </sheetView>
  </sheetViews>
  <sheetFormatPr defaultColWidth="8.6328125" defaultRowHeight="14.5" x14ac:dyDescent="0.35"/>
  <cols>
    <col min="1" max="1" width="22" customWidth="1"/>
    <col min="2" max="2" width="32" customWidth="1"/>
    <col min="3" max="3" width="18.7265625" customWidth="1"/>
    <col min="4" max="4" width="14" customWidth="1"/>
    <col min="5" max="5" width="42" customWidth="1"/>
  </cols>
  <sheetData>
    <row r="1" spans="1:5" ht="42.75" customHeight="1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spans="1:5" ht="39.75" customHeight="1" x14ac:dyDescent="0.35">
      <c r="A2" s="5" t="s">
        <v>5</v>
      </c>
      <c r="B2" s="6" t="s">
        <v>6</v>
      </c>
      <c r="C2" s="6"/>
      <c r="D2" s="7"/>
      <c r="E2" s="6"/>
    </row>
    <row r="3" spans="1:5" ht="6" customHeight="1" x14ac:dyDescent="0.35">
      <c r="A3" s="8"/>
      <c r="B3" s="8"/>
      <c r="C3" s="8"/>
      <c r="D3" s="8"/>
      <c r="E3" s="8"/>
    </row>
    <row r="4" spans="1:5" ht="18" customHeight="1" x14ac:dyDescent="0.3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</row>
    <row r="5" spans="1:5" ht="27.75" customHeight="1" x14ac:dyDescent="0.35">
      <c r="A5" s="9" t="s">
        <v>12</v>
      </c>
      <c r="B5" s="10" t="s">
        <v>13</v>
      </c>
      <c r="C5" s="11"/>
      <c r="D5" s="12">
        <v>1</v>
      </c>
      <c r="E5" s="13" t="s">
        <v>14</v>
      </c>
    </row>
    <row r="6" spans="1:5" ht="27.75" customHeight="1" x14ac:dyDescent="0.35">
      <c r="A6" s="9" t="s">
        <v>15</v>
      </c>
      <c r="B6" s="10" t="s">
        <v>16</v>
      </c>
      <c r="C6" s="14">
        <v>0.215764083411142</v>
      </c>
      <c r="D6" s="15">
        <f>D5*C6</f>
        <v>0.215764083411142</v>
      </c>
      <c r="E6" s="13" t="s">
        <v>17</v>
      </c>
    </row>
    <row r="7" spans="1:5" ht="27.75" customHeight="1" x14ac:dyDescent="0.35">
      <c r="A7" s="9" t="s">
        <v>18</v>
      </c>
      <c r="B7" s="10" t="s">
        <v>19</v>
      </c>
      <c r="C7" s="14">
        <v>0.02</v>
      </c>
      <c r="D7" s="15">
        <f>(D5+D6)*C7</f>
        <v>2.4315281668222843E-2</v>
      </c>
      <c r="E7" s="13" t="s">
        <v>20</v>
      </c>
    </row>
    <row r="8" spans="1:5" ht="27.75" customHeight="1" x14ac:dyDescent="0.35">
      <c r="A8" s="9" t="s">
        <v>21</v>
      </c>
      <c r="B8" s="10" t="s">
        <v>22</v>
      </c>
      <c r="C8" s="14">
        <v>0.12</v>
      </c>
      <c r="D8" s="15">
        <f>(D5+D6+D7)*C8</f>
        <v>0.14880952380952378</v>
      </c>
      <c r="E8" s="13" t="s">
        <v>23</v>
      </c>
    </row>
    <row r="9" spans="1:5" ht="27.75" customHeight="1" x14ac:dyDescent="0.35">
      <c r="A9" s="16" t="s">
        <v>24</v>
      </c>
      <c r="B9" s="17" t="s">
        <v>25</v>
      </c>
      <c r="C9" s="18"/>
      <c r="D9" s="19">
        <f>D5+D6+D7+D8</f>
        <v>1.3888888888888886</v>
      </c>
      <c r="E9" s="20" t="s">
        <v>26</v>
      </c>
    </row>
    <row r="10" spans="1:5" ht="27.75" customHeight="1" x14ac:dyDescent="0.35">
      <c r="A10" s="9" t="s">
        <v>27</v>
      </c>
      <c r="B10" s="10" t="s">
        <v>28</v>
      </c>
      <c r="C10" s="14">
        <v>0.08</v>
      </c>
      <c r="D10" s="15">
        <f>D9*C10</f>
        <v>0.11111111111111109</v>
      </c>
      <c r="E10" s="13" t="s">
        <v>29</v>
      </c>
    </row>
    <row r="11" spans="1:5" ht="27.75" customHeight="1" x14ac:dyDescent="0.35">
      <c r="A11" s="16" t="s">
        <v>30</v>
      </c>
      <c r="B11" s="17" t="s">
        <v>31</v>
      </c>
      <c r="C11" s="18"/>
      <c r="D11" s="21">
        <f>D9+D10</f>
        <v>1.4999999999999998</v>
      </c>
      <c r="E11" s="20" t="s">
        <v>32</v>
      </c>
    </row>
    <row r="12" spans="1:5" ht="7.5" customHeight="1" x14ac:dyDescent="0.35">
      <c r="A12" s="8"/>
      <c r="B12" s="8"/>
      <c r="C12" s="8"/>
      <c r="D12" s="8"/>
      <c r="E12" s="8"/>
    </row>
    <row r="13" spans="1:5" ht="48.75" customHeight="1" x14ac:dyDescent="0.35">
      <c r="A13" s="1" t="s">
        <v>33</v>
      </c>
      <c r="B13" s="22" t="str">
        <f>TEXT(D11,"0.0000")&amp;"×"</f>
        <v>1.5000×</v>
      </c>
      <c r="C13" s="6" t="s">
        <v>34</v>
      </c>
      <c r="D13" s="23">
        <f>D11</f>
        <v>1.4999999999999998</v>
      </c>
      <c r="E13" s="7" t="s">
        <v>35</v>
      </c>
    </row>
    <row r="14" spans="1:5" ht="7.5" customHeight="1" x14ac:dyDescent="0.35">
      <c r="A14" s="8"/>
      <c r="B14" s="8"/>
      <c r="C14" s="8"/>
      <c r="D14" s="8"/>
      <c r="E14" s="8"/>
    </row>
    <row r="15" spans="1:5" ht="42.75" customHeight="1" x14ac:dyDescent="0.35">
      <c r="A15" s="24"/>
      <c r="B15" s="25" t="s">
        <v>36</v>
      </c>
      <c r="C15" s="24"/>
      <c r="D15" s="24"/>
      <c r="E15" s="24"/>
    </row>
    <row r="16" spans="1:5" ht="42.75" customHeight="1" x14ac:dyDescent="0.35">
      <c r="A16" s="24"/>
      <c r="B16" s="25" t="s">
        <v>37</v>
      </c>
      <c r="C16" s="24"/>
      <c r="D16" s="24"/>
      <c r="E16" s="24"/>
    </row>
    <row r="17" spans="1:5" ht="42.75" customHeight="1" x14ac:dyDescent="0.35">
      <c r="A17" s="24"/>
      <c r="B17" s="25" t="s">
        <v>38</v>
      </c>
      <c r="C17" s="24"/>
      <c r="D17" s="24"/>
      <c r="E17" s="24"/>
    </row>
    <row r="18" spans="1:5" ht="42.75" customHeight="1" x14ac:dyDescent="0.35">
      <c r="A18" s="24"/>
      <c r="B18" s="25" t="s">
        <v>39</v>
      </c>
      <c r="C18" s="24"/>
      <c r="D18" s="24"/>
      <c r="E18" s="24"/>
    </row>
    <row r="19" spans="1:5" ht="15" customHeight="1" x14ac:dyDescent="0.35">
      <c r="A19" s="8"/>
      <c r="B19" s="8"/>
      <c r="C19" s="8"/>
      <c r="D19" s="8"/>
      <c r="E19" s="8"/>
    </row>
    <row r="20" spans="1:5" s="29" customFormat="1" ht="43.5" customHeight="1" x14ac:dyDescent="0.35">
      <c r="A20" s="26" t="s">
        <v>40</v>
      </c>
      <c r="B20" s="27" t="s">
        <v>41</v>
      </c>
      <c r="C20" s="28" t="s">
        <v>42</v>
      </c>
      <c r="D20" s="28" t="s">
        <v>3</v>
      </c>
      <c r="E20" s="28" t="s">
        <v>43</v>
      </c>
    </row>
  </sheetData>
  <pageMargins left="0.75" right="0.75" top="1" bottom="1" header="0.511811023622047" footer="0.51180555555555596"/>
  <pageSetup paperSize="9" scale="75" orientation="landscape" horizontalDpi="300" verticalDpi="300" r:id="rId1"/>
  <headerFooter>
    <oddFooter>&amp;L&amp;P/&amp;N&amp;R&amp;F/&amp;A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2"/>
  <sheetViews>
    <sheetView zoomScaleNormal="100" workbookViewId="0"/>
  </sheetViews>
  <sheetFormatPr defaultColWidth="8.6328125" defaultRowHeight="14.5" x14ac:dyDescent="0.35"/>
  <cols>
    <col min="1" max="1" width="26" customWidth="1"/>
    <col min="2" max="2" width="21.1796875" customWidth="1"/>
    <col min="3" max="6" width="14" customWidth="1"/>
    <col min="7" max="7" width="20" customWidth="1"/>
  </cols>
  <sheetData>
    <row r="1" spans="1:7" ht="25.5" customHeight="1" x14ac:dyDescent="0.35">
      <c r="A1" s="1" t="s">
        <v>0</v>
      </c>
      <c r="B1" s="2" t="s">
        <v>44</v>
      </c>
      <c r="C1" s="1" t="s">
        <v>2</v>
      </c>
      <c r="D1" s="1"/>
      <c r="E1" s="30" t="s">
        <v>3</v>
      </c>
      <c r="F1" s="1"/>
      <c r="G1" s="4" t="s">
        <v>45</v>
      </c>
    </row>
    <row r="2" spans="1:7" ht="49.5" customHeight="1" x14ac:dyDescent="0.35">
      <c r="A2" s="5" t="s">
        <v>5</v>
      </c>
      <c r="B2" s="31" t="s">
        <v>46</v>
      </c>
      <c r="C2" s="6"/>
      <c r="D2" s="6"/>
      <c r="E2" s="6"/>
      <c r="F2" s="6"/>
      <c r="G2" s="6"/>
    </row>
    <row r="3" spans="1:7" ht="6" customHeight="1" x14ac:dyDescent="0.35">
      <c r="A3" s="8"/>
      <c r="B3" s="8"/>
      <c r="C3" s="8"/>
      <c r="D3" s="8"/>
      <c r="E3" s="8"/>
      <c r="F3" s="8"/>
      <c r="G3" s="8"/>
    </row>
    <row r="4" spans="1:7" ht="18" customHeight="1" x14ac:dyDescent="0.35">
      <c r="A4" s="1" t="s">
        <v>47</v>
      </c>
      <c r="B4" s="1" t="s">
        <v>48</v>
      </c>
      <c r="C4" s="1"/>
      <c r="D4" s="1"/>
      <c r="E4" s="1"/>
      <c r="F4" s="1"/>
      <c r="G4" s="1"/>
    </row>
    <row r="5" spans="1:7" ht="18" customHeight="1" x14ac:dyDescent="0.35">
      <c r="A5" s="32" t="s">
        <v>49</v>
      </c>
      <c r="B5" s="33">
        <f>+'Wrap Rate Calculator'!C6</f>
        <v>0.215764083411142</v>
      </c>
      <c r="C5" s="24"/>
      <c r="D5" s="24"/>
      <c r="E5" s="24"/>
      <c r="F5" s="24"/>
      <c r="G5" s="24"/>
    </row>
    <row r="6" spans="1:7" ht="18" customHeight="1" x14ac:dyDescent="0.35">
      <c r="A6" s="32" t="s">
        <v>50</v>
      </c>
      <c r="B6" s="33">
        <f>+'Wrap Rate Calculator'!C7</f>
        <v>0.02</v>
      </c>
      <c r="C6" s="24"/>
      <c r="D6" s="24"/>
      <c r="E6" s="24"/>
      <c r="F6" s="24"/>
      <c r="G6" s="24"/>
    </row>
    <row r="7" spans="1:7" ht="18" customHeight="1" x14ac:dyDescent="0.35">
      <c r="A7" s="32" t="s">
        <v>51</v>
      </c>
      <c r="B7" s="33">
        <f>+'Wrap Rate Calculator'!C8</f>
        <v>0.12</v>
      </c>
      <c r="C7" s="24"/>
      <c r="D7" s="24"/>
      <c r="E7" s="24"/>
      <c r="F7" s="24"/>
      <c r="G7" s="24"/>
    </row>
    <row r="8" spans="1:7" ht="18" customHeight="1" x14ac:dyDescent="0.35">
      <c r="A8" s="32" t="s">
        <v>52</v>
      </c>
      <c r="B8" s="33">
        <f>+'Wrap Rate Calculator'!C10</f>
        <v>0.08</v>
      </c>
      <c r="C8" s="24"/>
      <c r="D8" s="24"/>
      <c r="E8" s="24"/>
      <c r="F8" s="24"/>
      <c r="G8" s="24"/>
    </row>
    <row r="9" spans="1:7" ht="7.5" customHeight="1" x14ac:dyDescent="0.35">
      <c r="A9" s="8"/>
      <c r="B9" s="8"/>
      <c r="C9" s="8"/>
      <c r="D9" s="8"/>
      <c r="E9" s="8"/>
      <c r="F9" s="8"/>
      <c r="G9" s="8"/>
    </row>
    <row r="10" spans="1:7" ht="30" customHeight="1" x14ac:dyDescent="0.35">
      <c r="A10" s="26" t="s">
        <v>53</v>
      </c>
      <c r="B10" s="26" t="s">
        <v>54</v>
      </c>
      <c r="C10" s="26" t="s">
        <v>55</v>
      </c>
      <c r="D10" s="26" t="s">
        <v>56</v>
      </c>
      <c r="E10" s="26" t="s">
        <v>21</v>
      </c>
      <c r="F10" s="26" t="s">
        <v>24</v>
      </c>
      <c r="G10" s="26" t="s">
        <v>57</v>
      </c>
    </row>
    <row r="11" spans="1:7" ht="18" customHeight="1" x14ac:dyDescent="0.35">
      <c r="A11" s="32" t="s">
        <v>58</v>
      </c>
      <c r="B11" s="34">
        <v>85</v>
      </c>
      <c r="C11" s="35">
        <f>B11*B5</f>
        <v>18.339947089947071</v>
      </c>
      <c r="D11" s="35">
        <f>(B11+C11)*B6</f>
        <v>2.0667989417989414</v>
      </c>
      <c r="E11" s="35">
        <f>(B11+C11+D11)*B7</f>
        <v>12.64880952380952</v>
      </c>
      <c r="F11" s="36">
        <f t="shared" ref="F11:F20" si="0">B11+C11+D11+E11</f>
        <v>118.05555555555553</v>
      </c>
      <c r="G11" s="37">
        <f>F11*(1+B8)</f>
        <v>127.49999999999999</v>
      </c>
    </row>
    <row r="12" spans="1:7" ht="18" customHeight="1" x14ac:dyDescent="0.35">
      <c r="A12" s="32" t="s">
        <v>59</v>
      </c>
      <c r="B12" s="34">
        <v>65</v>
      </c>
      <c r="C12" s="35">
        <f>B12*B5</f>
        <v>14.024665421724229</v>
      </c>
      <c r="D12" s="35">
        <f>(B12+C12)*B6</f>
        <v>1.5804933084344845</v>
      </c>
      <c r="E12" s="35">
        <f>(B12+C12+D12)*B7</f>
        <v>9.6726190476190439</v>
      </c>
      <c r="F12" s="36">
        <f t="shared" si="0"/>
        <v>90.277777777777743</v>
      </c>
      <c r="G12" s="37">
        <f>F12*(1+B8)</f>
        <v>97.499999999999972</v>
      </c>
    </row>
    <row r="13" spans="1:7" ht="18" customHeight="1" x14ac:dyDescent="0.35">
      <c r="A13" s="32" t="s">
        <v>60</v>
      </c>
      <c r="B13" s="34">
        <v>50</v>
      </c>
      <c r="C13" s="35">
        <f>B13*B5</f>
        <v>10.788204170557099</v>
      </c>
      <c r="D13" s="35">
        <f>(B13+C13)*B6</f>
        <v>1.2157640834111421</v>
      </c>
      <c r="E13" s="35">
        <f>(B13+C13+D13)*B7</f>
        <v>7.4404761904761889</v>
      </c>
      <c r="F13" s="36">
        <f t="shared" si="0"/>
        <v>69.444444444444429</v>
      </c>
      <c r="G13" s="37">
        <f>F13*(1+B8)</f>
        <v>74.999999999999986</v>
      </c>
    </row>
    <row r="14" spans="1:7" ht="18" customHeight="1" x14ac:dyDescent="0.35">
      <c r="A14" s="32" t="s">
        <v>61</v>
      </c>
      <c r="B14" s="34">
        <v>38</v>
      </c>
      <c r="C14" s="35">
        <f>B14*B5</f>
        <v>8.1990351696233965</v>
      </c>
      <c r="D14" s="35">
        <f>(B14+C14)*B6</f>
        <v>0.92398070339246807</v>
      </c>
      <c r="E14" s="35">
        <f>(B14+C14+D14)*B7</f>
        <v>5.6547619047619033</v>
      </c>
      <c r="F14" s="36">
        <f t="shared" si="0"/>
        <v>52.777777777777771</v>
      </c>
      <c r="G14" s="37">
        <f>F14*(1+B8)</f>
        <v>57</v>
      </c>
    </row>
    <row r="15" spans="1:7" ht="18" customHeight="1" x14ac:dyDescent="0.35">
      <c r="A15" s="32" t="s">
        <v>62</v>
      </c>
      <c r="B15" s="34">
        <v>28</v>
      </c>
      <c r="C15" s="35">
        <f>B15*B5</f>
        <v>6.0413943355119759</v>
      </c>
      <c r="D15" s="35">
        <f>(B15+C15)*B6</f>
        <v>0.68082788671023953</v>
      </c>
      <c r="E15" s="35">
        <f>(B15+C15+D15)*B7</f>
        <v>4.1666666666666652</v>
      </c>
      <c r="F15" s="36">
        <f t="shared" si="0"/>
        <v>38.888888888888879</v>
      </c>
      <c r="G15" s="37">
        <f>F15*(1+B8)</f>
        <v>41.999999999999993</v>
      </c>
    </row>
    <row r="16" spans="1:7" ht="18" customHeight="1" x14ac:dyDescent="0.35">
      <c r="A16" s="32" t="s">
        <v>63</v>
      </c>
      <c r="B16" s="34">
        <v>120</v>
      </c>
      <c r="C16" s="35">
        <f>B16*B5</f>
        <v>25.89169000933704</v>
      </c>
      <c r="D16" s="35">
        <f>(B16+C16)*B6</f>
        <v>2.9178338001867408</v>
      </c>
      <c r="E16" s="35">
        <f>(B16+C16+D16)*B7</f>
        <v>17.857142857142851</v>
      </c>
      <c r="F16" s="36">
        <f t="shared" si="0"/>
        <v>166.66666666666663</v>
      </c>
      <c r="G16" s="37">
        <f>F16*(1+B8)</f>
        <v>179.99999999999997</v>
      </c>
    </row>
    <row r="17" spans="1:7" ht="18" customHeight="1" x14ac:dyDescent="0.35">
      <c r="A17" s="38"/>
      <c r="B17" s="39"/>
      <c r="C17" s="35">
        <f>B17*B5</f>
        <v>0</v>
      </c>
      <c r="D17" s="35">
        <f>(B17+C17)*B6</f>
        <v>0</v>
      </c>
      <c r="E17" s="35">
        <f>(B17+C17+D17)*B7</f>
        <v>0</v>
      </c>
      <c r="F17" s="36">
        <f t="shared" si="0"/>
        <v>0</v>
      </c>
      <c r="G17" s="37">
        <f>F17*(1+B8)</f>
        <v>0</v>
      </c>
    </row>
    <row r="18" spans="1:7" ht="18" customHeight="1" x14ac:dyDescent="0.35">
      <c r="A18" s="38"/>
      <c r="B18" s="39"/>
      <c r="C18" s="35">
        <f>B18*B5</f>
        <v>0</v>
      </c>
      <c r="D18" s="35">
        <f>(B18+C18)*B6</f>
        <v>0</v>
      </c>
      <c r="E18" s="35">
        <f>(B18+C18+D18)*B7</f>
        <v>0</v>
      </c>
      <c r="F18" s="36">
        <f t="shared" si="0"/>
        <v>0</v>
      </c>
      <c r="G18" s="37">
        <f>F18*(1+B8)</f>
        <v>0</v>
      </c>
    </row>
    <row r="19" spans="1:7" ht="18" customHeight="1" x14ac:dyDescent="0.35">
      <c r="A19" s="38"/>
      <c r="B19" s="39"/>
      <c r="C19" s="35">
        <f>B19*B5</f>
        <v>0</v>
      </c>
      <c r="D19" s="35">
        <f>(B19+C19)*B6</f>
        <v>0</v>
      </c>
      <c r="E19" s="35">
        <f>(B19+C19+D19)*B7</f>
        <v>0</v>
      </c>
      <c r="F19" s="36">
        <f t="shared" si="0"/>
        <v>0</v>
      </c>
      <c r="G19" s="37">
        <f>F19*(1+B8)</f>
        <v>0</v>
      </c>
    </row>
    <row r="20" spans="1:7" ht="18" customHeight="1" x14ac:dyDescent="0.35">
      <c r="A20" s="38"/>
      <c r="B20" s="39"/>
      <c r="C20" s="35">
        <f>B20*B5</f>
        <v>0</v>
      </c>
      <c r="D20" s="35">
        <f>(B20+C20)*B6</f>
        <v>0</v>
      </c>
      <c r="E20" s="35">
        <f>(B20+C20+D20)*B7</f>
        <v>0</v>
      </c>
      <c r="F20" s="36">
        <f t="shared" si="0"/>
        <v>0</v>
      </c>
      <c r="G20" s="37">
        <f>F20*(1+B8)</f>
        <v>0</v>
      </c>
    </row>
    <row r="21" spans="1:7" ht="15" customHeight="1" x14ac:dyDescent="0.35">
      <c r="A21" s="8"/>
      <c r="B21" s="8"/>
      <c r="C21" s="8"/>
      <c r="D21" s="8"/>
      <c r="E21" s="8"/>
      <c r="F21" s="8"/>
      <c r="G21" s="8"/>
    </row>
    <row r="22" spans="1:7" ht="19.5" customHeight="1" x14ac:dyDescent="0.35">
      <c r="A22" s="30" t="s">
        <v>41</v>
      </c>
      <c r="B22" s="30" t="s">
        <v>3</v>
      </c>
      <c r="C22" s="30"/>
      <c r="D22" s="30" t="s">
        <v>64</v>
      </c>
      <c r="E22" s="30"/>
      <c r="F22" s="30"/>
      <c r="G22" s="30" t="s">
        <v>45</v>
      </c>
    </row>
  </sheetData>
  <pageMargins left="0.75" right="0.75" top="1" bottom="1" header="0.511811023622047" footer="0.51180555555555596"/>
  <pageSetup paperSize="9" orientation="landscape" horizontalDpi="300" verticalDpi="300" r:id="rId1"/>
  <headerFooter>
    <oddFooter>&amp;L&amp;P/&amp;N&amp;R&amp;F/&amp;A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Wrap Rate Calculator</vt:lpstr>
      <vt:lpstr>Labor Category Pricing</vt:lpstr>
      <vt:lpstr>'Labor Category Pricing'!Print_Area</vt:lpstr>
      <vt:lpstr>'Wrap Rate Calculator'!Print_Area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Jenny W Clark</cp:lastModifiedBy>
  <cp:revision>0</cp:revision>
  <cp:lastPrinted>2026-05-14T13:35:20Z</cp:lastPrinted>
  <dcterms:created xsi:type="dcterms:W3CDTF">2026-05-14T12:14:17Z</dcterms:created>
  <dcterms:modified xsi:type="dcterms:W3CDTF">2026-05-14T13:35:45Z</dcterms:modified>
  <dc:language>en-US</dc:language>
</cp:coreProperties>
</file>